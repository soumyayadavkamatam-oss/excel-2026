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my\Downloads\excel 2026\"/>
    </mc:Choice>
  </mc:AlternateContent>
  <xr:revisionPtr revIDLastSave="0" documentId="8_{D6C20E72-FF2F-47EE-B2AF-07A0859D9F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tient_Data" sheetId="1" r:id="rId1"/>
    <sheet name="Questions" sheetId="3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<sst xmlns="http://schemas.openxmlformats.org/spreadsheetml/2006/main" count="468" uniqueCount="234">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</sst>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B45" zoomScale="105" zoomScaleNormal="105" workbookViewId="0">
      <selection activeCell="G67" sqref="G67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18000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G47">
        <f>SUM(K2:K41)</f>
        <v>1019000</v>
      </c>
    </row>
    <row r="48" spans="1:22">
      <c r="E48" t="s">
        <v>224</v>
      </c>
      <c r="G48">
        <f>SUMIF(E2:E41,E23,K2:K41)</f>
        <v>179000</v>
      </c>
    </row>
    <row r="49" spans="5:7">
      <c r="E49" t="s">
        <v>138</v>
      </c>
      <c r="G49">
        <f>COUNTIF(E2:E41,E40)</f>
        <v>7</v>
      </c>
    </row>
    <row r="50" spans="5:7">
      <c r="E50" t="s">
        <v>139</v>
      </c>
      <c r="G50">
        <f>AVERAGE(K2:K41,E2:E41,E23)</f>
        <v>25475</v>
      </c>
    </row>
    <row r="51" spans="5:7">
      <c r="E51" t="s">
        <v>124</v>
      </c>
      <c r="G51">
        <f>SUM(K2:K41,J2:J41,J19)</f>
        <v>1019000</v>
      </c>
    </row>
    <row r="52" spans="5:7">
      <c r="E52" t="s">
        <v>125</v>
      </c>
      <c r="G52">
        <f>COUNTIF(L2:L41,L5)</f>
        <v>10</v>
      </c>
    </row>
    <row r="53" spans="5:7">
      <c r="E53" t="s">
        <v>126</v>
      </c>
      <c r="G53">
        <f>SUMIFS(K2:K41,L2:L41,L20)</f>
        <v>344500</v>
      </c>
    </row>
    <row r="54" spans="5:7">
      <c r="E54" t="s">
        <v>127</v>
      </c>
      <c r="G54">
        <f>SUMIFS(K2:K41,E2:E41,E5,J2:J41,J19)</f>
        <v>275500</v>
      </c>
    </row>
    <row r="55" spans="5:7">
      <c r="E55" t="s">
        <v>128</v>
      </c>
      <c r="G55">
        <f>COUNTIFS(E2:E41,E21,L2:L41,L5)</f>
        <v>4</v>
      </c>
    </row>
    <row r="56" spans="5:7">
      <c r="E56" t="s">
        <v>129</v>
      </c>
      <c r="G56">
        <f>AVERAGEIFS(K2:K41,J2:J41,J32)</f>
        <v>25733.333333333332</v>
      </c>
    </row>
    <row r="57" spans="5:7">
      <c r="E57" t="s">
        <v>130</v>
      </c>
      <c r="G57">
        <f>COUNTIFS(K2:K41,"&gt;40000")</f>
        <v>9</v>
      </c>
    </row>
    <row r="58" spans="5:7">
      <c r="E58" t="s">
        <v>131</v>
      </c>
      <c r="G58">
        <f>SUMIFS(K2:K41,K2:K41,"&gt;40000")</f>
        <v>508000</v>
      </c>
    </row>
    <row r="59" spans="5:7">
      <c r="E59" t="s">
        <v>132</v>
      </c>
      <c r="G59">
        <f>COUNTIF(M2:M41,"&gt;5")</f>
        <v>11</v>
      </c>
    </row>
    <row r="60" spans="5:7">
      <c r="E60" t="s">
        <v>133</v>
      </c>
      <c r="G60">
        <f>SUMIFS(K2:K41,M2:M41,"&gt;5")</f>
        <v>582000</v>
      </c>
    </row>
    <row r="61" spans="5:7">
      <c r="E61" t="s">
        <v>134</v>
      </c>
      <c r="G61">
        <f>SUMIFS(K2:K41,E2:E41,E2,M2:M41,"&gt;5")</f>
        <v>320000</v>
      </c>
    </row>
    <row r="62" spans="5:7">
      <c r="E62" t="s">
        <v>135</v>
      </c>
      <c r="G62">
        <f>AVERAGEIFS(M2:M41,L2:L41,L20)</f>
        <v>5.8</v>
      </c>
    </row>
    <row r="63" spans="5:7">
      <c r="E63" t="s">
        <v>136</v>
      </c>
      <c r="G63">
        <f>_xlfn.MAXIFS(K2:K41,E2:E41,E26)</f>
        <v>76000</v>
      </c>
    </row>
    <row r="64" spans="5:7">
      <c r="E64" t="s">
        <v>137</v>
      </c>
      <c r="G64">
        <f>_xlfn.MINIFS(K2:K41,E2:E41,E19)</f>
        <v>12500</v>
      </c>
    </row>
    <row r="65" spans="5:7">
      <c r="E65" t="s">
        <v>140</v>
      </c>
      <c r="G65">
        <f>COUNTIFS(E2:E41,E21,L2:L41,L25)</f>
        <v>4</v>
      </c>
    </row>
    <row r="66" spans="5:7">
      <c r="E66" t="s">
        <v>141</v>
      </c>
      <c r="G66">
        <f>AVERAGEIFS(K2:K41,E2:E41,E21,J2:J41,J22)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80" zoomScaleNormal="180" workbookViewId="0">
      <selection activeCell="E32" sqref="E32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4">
      <c r="A18" t="s">
        <v>198</v>
      </c>
    </row>
    <row r="19" spans="1:4">
      <c r="A19" s="11" t="s">
        <v>199</v>
      </c>
    </row>
    <row r="20" spans="1:4">
      <c r="A20" s="11" t="s">
        <v>196</v>
      </c>
    </row>
    <row r="21" spans="1:4">
      <c r="A21" s="11" t="s">
        <v>200</v>
      </c>
    </row>
    <row r="23" spans="1:4">
      <c r="A23" t="s">
        <v>201</v>
      </c>
    </row>
    <row r="24" spans="1:4">
      <c r="A24" s="11" t="s">
        <v>202</v>
      </c>
    </row>
    <row r="25" spans="1:4">
      <c r="A25" s="11" t="s">
        <v>203</v>
      </c>
    </row>
    <row r="27" spans="1:4">
      <c r="A27" t="s">
        <v>204</v>
      </c>
    </row>
    <row r="28" spans="1:4">
      <c r="A28" t="s">
        <v>205</v>
      </c>
    </row>
    <row r="29" spans="1:4">
      <c r="A29" s="13"/>
    </row>
    <row r="30" spans="1:4">
      <c r="A30" t="s">
        <v>206</v>
      </c>
      <c r="B30" s="4" t="s">
        <v>207</v>
      </c>
      <c r="C30" s="5" t="s">
        <v>208</v>
      </c>
    </row>
    <row r="31" spans="1:4">
      <c r="B31" s="3" t="s">
        <v>209</v>
      </c>
      <c r="C31" s="6" t="s">
        <v>210</v>
      </c>
      <c r="D31" t="s">
        <v>232</v>
      </c>
    </row>
    <row r="32" spans="1:4">
      <c r="B32" s="3" t="s">
        <v>211</v>
      </c>
      <c r="C32" s="6" t="s">
        <v>212</v>
      </c>
      <c r="D32" t="s">
        <v>231</v>
      </c>
    </row>
    <row r="33" spans="1:7">
      <c r="A33" s="13"/>
      <c r="B33" s="3" t="s">
        <v>213</v>
      </c>
      <c r="C33" s="6" t="s">
        <v>214</v>
      </c>
      <c r="D33" t="s">
        <v>230</v>
      </c>
    </row>
    <row r="34" spans="1:7">
      <c r="B34" s="3" t="s">
        <v>215</v>
      </c>
      <c r="C34" s="6" t="s">
        <v>216</v>
      </c>
      <c r="D34" t="s">
        <v>229</v>
      </c>
      <c r="G34" t="s">
        <v>233</v>
      </c>
    </row>
    <row r="37" spans="1:7">
      <c r="A37" t="s">
        <v>217</v>
      </c>
    </row>
    <row r="38" spans="1:7">
      <c r="A38" s="11" t="s">
        <v>218</v>
      </c>
    </row>
    <row r="39" spans="1:7">
      <c r="A39" s="11" t="s">
        <v>219</v>
      </c>
    </row>
    <row r="40" spans="1:7">
      <c r="A40" t="s">
        <v>220</v>
      </c>
    </row>
    <row r="42" spans="1:7">
      <c r="A42" t="s">
        <v>221</v>
      </c>
    </row>
    <row r="43" spans="1:7">
      <c r="A43" s="11"/>
    </row>
    <row r="44" spans="1:7">
      <c r="A44" s="11" t="s">
        <v>222</v>
      </c>
    </row>
    <row r="45" spans="1:7">
      <c r="A45" s="12" t="s">
        <v>223</v>
      </c>
    </row>
    <row r="47" spans="1:7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9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Soumya Kamatam</cp:lastModifiedBy>
  <dcterms:created xsi:type="dcterms:W3CDTF">2026-09-09T05:55:57Z</dcterms:created>
  <dcterms:modified xsi:type="dcterms:W3CDTF">2026-10-29T18:07:14Z</dcterms:modified>
</cp:coreProperties>
</file>